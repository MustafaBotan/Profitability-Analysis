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tan\Desktop\cousera VBA\project 3\week 6\"/>
    </mc:Choice>
  </mc:AlternateContent>
  <xr:revisionPtr revIDLastSave="0" documentId="13_ncr:1_{4BDE6652-EC1F-49F2-8335-3FB2C347831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Histogram" sheetId="54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" l="1"/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<sst xmlns="http://schemas.openxmlformats.org/spreadsheetml/2006/main" count="28" uniqueCount="23">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</sst>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-52.5</c:v>
                </c:pt>
                <c:pt idx="1">
                  <c:v>-45.5</c:v>
                </c:pt>
                <c:pt idx="2">
                  <c:v>-38.5</c:v>
                </c:pt>
                <c:pt idx="3">
                  <c:v>-31.5</c:v>
                </c:pt>
                <c:pt idx="4">
                  <c:v>-24.5</c:v>
                </c:pt>
                <c:pt idx="5">
                  <c:v>-17.5</c:v>
                </c:pt>
                <c:pt idx="6">
                  <c:v>-10.5</c:v>
                </c:pt>
                <c:pt idx="7">
                  <c:v>-3.5</c:v>
                </c:pt>
                <c:pt idx="8">
                  <c:v>3.5</c:v>
                </c:pt>
                <c:pt idx="9">
                  <c:v>10.5</c:v>
                </c:pt>
                <c:pt idx="10">
                  <c:v>17.5</c:v>
                </c:pt>
                <c:pt idx="11">
                  <c:v>24.5</c:v>
                </c:pt>
                <c:pt idx="12">
                  <c:v>31.5</c:v>
                </c:pt>
                <c:pt idx="13">
                  <c:v>38.5</c:v>
                </c:pt>
                <c:pt idx="14">
                  <c:v>45.5</c:v>
                </c:pt>
                <c:pt idx="15">
                  <c:v>52.5</c:v>
                </c:pt>
                <c:pt idx="16">
                  <c:v>59.5</c:v>
                </c:pt>
                <c:pt idx="17">
                  <c:v>66.5</c:v>
                </c:pt>
                <c:pt idx="18">
                  <c:v>73.5</c:v>
                </c:pt>
                <c:pt idx="19">
                  <c:v>80.5</c:v>
                </c:pt>
                <c:pt idx="20">
                  <c:v>87.5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7</c:v>
                </c:pt>
                <c:pt idx="1">
                  <c:v>20</c:v>
                </c:pt>
                <c:pt idx="2">
                  <c:v>33</c:v>
                </c:pt>
                <c:pt idx="3">
                  <c:v>55</c:v>
                </c:pt>
                <c:pt idx="4">
                  <c:v>102</c:v>
                </c:pt>
                <c:pt idx="5">
                  <c:v>96</c:v>
                </c:pt>
                <c:pt idx="6">
                  <c:v>129</c:v>
                </c:pt>
                <c:pt idx="7">
                  <c:v>117</c:v>
                </c:pt>
                <c:pt idx="8">
                  <c:v>110</c:v>
                </c:pt>
                <c:pt idx="9">
                  <c:v>95</c:v>
                </c:pt>
                <c:pt idx="10">
                  <c:v>75</c:v>
                </c:pt>
                <c:pt idx="11">
                  <c:v>56</c:v>
                </c:pt>
                <c:pt idx="12">
                  <c:v>35</c:v>
                </c:pt>
                <c:pt idx="13">
                  <c:v>33</c:v>
                </c:pt>
                <c:pt idx="14">
                  <c:v>16</c:v>
                </c:pt>
                <c:pt idx="15">
                  <c:v>10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F-4C63-9B5F-0F88AD479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698976"/>
        <c:axId val="741114240"/>
      </c:barChart>
      <c:catAx>
        <c:axId val="100869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114240"/>
        <c:crosses val="autoZero"/>
        <c:auto val="1"/>
        <c:lblAlgn val="ctr"/>
        <c:lblOffset val="100"/>
        <c:noMultiLvlLbl val="0"/>
      </c:catAx>
      <c:valAx>
        <c:axId val="7411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69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7A4CDBC-5E92-4FD2-AC37-6ACEBAAE0088}">
  <sheetPr codeName="Chart3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539" cy="62843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8681B2-640D-4035-A910-F63608CF49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G27" sqref="G27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  <col min="14" max="14" width="9.218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5">
        <v>-10</v>
      </c>
      <c r="D3" t="s">
        <v>2</v>
      </c>
      <c r="E3" s="15">
        <v>46.09635092231791</v>
      </c>
      <c r="G3" t="s">
        <v>3</v>
      </c>
      <c r="H3" s="5">
        <v>-7.2056387859879267</v>
      </c>
    </row>
    <row r="4" spans="1:16" ht="15" thickBot="1" x14ac:dyDescent="0.35">
      <c r="A4" t="s">
        <v>4</v>
      </c>
      <c r="B4" s="6">
        <v>-13.2923408563069</v>
      </c>
      <c r="D4" t="s">
        <v>5</v>
      </c>
      <c r="E4" s="7">
        <v>0.4</v>
      </c>
      <c r="G4" t="s">
        <v>6</v>
      </c>
      <c r="H4" s="8">
        <v>0.11199471950531006</v>
      </c>
    </row>
    <row r="5" spans="1:16" x14ac:dyDescent="0.3">
      <c r="A5" t="s">
        <v>7</v>
      </c>
      <c r="B5" s="9">
        <v>-78.688580583326214</v>
      </c>
      <c r="H5" s="10"/>
    </row>
    <row r="6" spans="1:16" x14ac:dyDescent="0.3">
      <c r="A6" t="s">
        <v>8</v>
      </c>
      <c r="B6" s="9">
        <v>-18.63046532869339</v>
      </c>
      <c r="E6" t="s">
        <v>9</v>
      </c>
      <c r="H6" s="10"/>
    </row>
    <row r="7" spans="1:16" ht="15" thickBot="1" x14ac:dyDescent="0.35">
      <c r="A7" t="s">
        <v>10</v>
      </c>
      <c r="B7" s="14">
        <v>-14.917292922510006</v>
      </c>
      <c r="E7" t="s">
        <v>11</v>
      </c>
      <c r="H7" s="10"/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1">
        <f>0.5*CTDC</f>
        <v>-39.344290291663107</v>
      </c>
      <c r="C10" s="11"/>
      <c r="D10" s="11">
        <f>Cland</f>
        <v>-10</v>
      </c>
      <c r="E10" s="11"/>
      <c r="F10" s="11"/>
      <c r="G10" s="11"/>
      <c r="H10" s="11"/>
      <c r="I10" s="11"/>
      <c r="J10" s="11"/>
      <c r="L10">
        <f>B10+D10</f>
        <v>-49.344290291663107</v>
      </c>
      <c r="M10" s="11">
        <f t="shared" ref="M10:M24" si="0">L10/(1+i)^(A10-1)</f>
        <v>-49.344290291663107</v>
      </c>
      <c r="N10" s="11">
        <f>M10</f>
        <v>-49.344290291663107</v>
      </c>
    </row>
    <row r="11" spans="1:16" x14ac:dyDescent="0.3">
      <c r="A11">
        <v>2</v>
      </c>
      <c r="B11" s="11">
        <f>0.5*CTDC</f>
        <v>-39.344290291663107</v>
      </c>
      <c r="C11" s="11">
        <f>WC</f>
        <v>-18.63046532869339</v>
      </c>
      <c r="D11" s="11"/>
      <c r="E11" s="11"/>
      <c r="F11" s="11">
        <f>Cstart</f>
        <v>-14.917292922510006</v>
      </c>
      <c r="G11" s="11"/>
      <c r="H11" s="11"/>
      <c r="I11" s="11"/>
      <c r="J11" s="11"/>
      <c r="L11">
        <f>B11+C11+F11</f>
        <v>-72.892048542866505</v>
      </c>
      <c r="M11" s="11">
        <f t="shared" si="0"/>
        <v>-65.55071464304595</v>
      </c>
      <c r="N11" s="11">
        <f>N10+M11</f>
        <v>-114.89500493470905</v>
      </c>
    </row>
    <row r="12" spans="1:16" x14ac:dyDescent="0.3">
      <c r="A12">
        <v>3</v>
      </c>
      <c r="B12" s="11"/>
      <c r="C12" s="11"/>
      <c r="D12" s="11"/>
      <c r="E12" s="11">
        <f t="shared" ref="E12:E24" si="1">Croyal</f>
        <v>-13.2923408563069</v>
      </c>
      <c r="F12" s="11"/>
      <c r="G12" s="11"/>
      <c r="H12" s="11">
        <f>P12*-CTDC</f>
        <v>11.244598165357315</v>
      </c>
      <c r="I12" s="11">
        <f>0.5*S</f>
        <v>23.048175461158955</v>
      </c>
      <c r="J12" s="11">
        <f>0.5*COS</f>
        <v>-3.6028193929939634</v>
      </c>
      <c r="K12" s="11">
        <f>(1-tax)*(I12-J12-H12)</f>
        <v>9.2438380132773617</v>
      </c>
      <c r="L12" s="11">
        <f t="shared" ref="L12:L23" si="2">K12+H12+E12</f>
        <v>7.1960953223277784</v>
      </c>
      <c r="M12" s="11">
        <f t="shared" si="0"/>
        <v>5.819577521089017</v>
      </c>
      <c r="N12" s="11">
        <f t="shared" ref="N12:N23" si="3">N11+M12</f>
        <v>-109.07542741362003</v>
      </c>
      <c r="P12" s="12">
        <v>0.1429</v>
      </c>
    </row>
    <row r="13" spans="1:16" x14ac:dyDescent="0.3">
      <c r="A13">
        <v>4</v>
      </c>
      <c r="B13" s="11"/>
      <c r="C13" s="11"/>
      <c r="D13" s="11"/>
      <c r="E13" s="11">
        <f t="shared" si="1"/>
        <v>-13.2923408563069</v>
      </c>
      <c r="F13" s="11"/>
      <c r="G13" s="11"/>
      <c r="H13" s="11">
        <f t="shared" ref="H13:H19" si="4">P13*-CTDC</f>
        <v>19.270833384856591</v>
      </c>
      <c r="I13" s="11">
        <f>0.8*S</f>
        <v>36.877080737854328</v>
      </c>
      <c r="J13" s="11">
        <f>0.8*COS</f>
        <v>-5.7645110287903414</v>
      </c>
      <c r="K13" s="11">
        <f t="shared" ref="K13:K24" si="5">(1-tax)*(I13-J13-H13)</f>
        <v>14.022455029072844</v>
      </c>
      <c r="L13" s="11">
        <f t="shared" si="2"/>
        <v>20.000947557622531</v>
      </c>
      <c r="M13" s="11">
        <f t="shared" si="0"/>
        <v>14.545960246825977</v>
      </c>
      <c r="N13" s="11">
        <f t="shared" si="3"/>
        <v>-94.529467166794063</v>
      </c>
      <c r="P13" s="12">
        <v>0.24490000000000001</v>
      </c>
    </row>
    <row r="14" spans="1:16" x14ac:dyDescent="0.3">
      <c r="A14">
        <v>5</v>
      </c>
      <c r="B14" s="11"/>
      <c r="C14" s="11"/>
      <c r="D14" s="11"/>
      <c r="E14" s="11">
        <f t="shared" si="1"/>
        <v>-13.2923408563069</v>
      </c>
      <c r="F14" s="11"/>
      <c r="G14" s="11"/>
      <c r="H14" s="11">
        <f t="shared" si="4"/>
        <v>13.762632744023755</v>
      </c>
      <c r="I14" s="11">
        <f t="shared" ref="I14:I24" si="6">S</f>
        <v>46.09635092231791</v>
      </c>
      <c r="J14" s="11">
        <f t="shared" ref="J14:J24" si="7">COS</f>
        <v>-7.2056387859879267</v>
      </c>
      <c r="K14" s="11">
        <f t="shared" si="5"/>
        <v>23.72361417856925</v>
      </c>
      <c r="L14" s="11">
        <f t="shared" si="2"/>
        <v>24.193906066286104</v>
      </c>
      <c r="M14" s="11">
        <f t="shared" si="0"/>
        <v>15.823228162801612</v>
      </c>
      <c r="N14" s="11">
        <f t="shared" si="3"/>
        <v>-78.706239003992451</v>
      </c>
      <c r="P14" s="12">
        <v>0.1749</v>
      </c>
    </row>
    <row r="15" spans="1:16" x14ac:dyDescent="0.3">
      <c r="A15">
        <v>6</v>
      </c>
      <c r="B15" s="11"/>
      <c r="C15" s="11"/>
      <c r="D15" s="11"/>
      <c r="E15" s="11">
        <f t="shared" si="1"/>
        <v>-13.2923408563069</v>
      </c>
      <c r="F15" s="11"/>
      <c r="G15" s="11"/>
      <c r="H15" s="11">
        <f t="shared" si="4"/>
        <v>9.8282037148574446</v>
      </c>
      <c r="I15" s="11">
        <f t="shared" si="6"/>
        <v>46.09635092231791</v>
      </c>
      <c r="J15" s="11">
        <f t="shared" si="7"/>
        <v>-7.2056387859879267</v>
      </c>
      <c r="K15" s="11">
        <f t="shared" si="5"/>
        <v>26.084271596069037</v>
      </c>
      <c r="L15" s="11">
        <f t="shared" si="2"/>
        <v>22.620134454619581</v>
      </c>
      <c r="M15" s="11">
        <f t="shared" si="0"/>
        <v>13.303979205662605</v>
      </c>
      <c r="N15" s="11">
        <f t="shared" si="3"/>
        <v>-65.402259798329851</v>
      </c>
      <c r="P15" s="12">
        <v>0.1249</v>
      </c>
    </row>
    <row r="16" spans="1:16" x14ac:dyDescent="0.3">
      <c r="A16">
        <v>7</v>
      </c>
      <c r="B16" s="11"/>
      <c r="C16" s="11"/>
      <c r="D16" s="11"/>
      <c r="E16" s="11">
        <f>Croyal</f>
        <v>-13.2923408563069</v>
      </c>
      <c r="F16" s="11"/>
      <c r="G16" s="11"/>
      <c r="H16" s="11">
        <f t="shared" si="4"/>
        <v>7.026890246091031</v>
      </c>
      <c r="I16" s="11">
        <f t="shared" si="6"/>
        <v>46.09635092231791</v>
      </c>
      <c r="J16" s="11">
        <f t="shared" si="7"/>
        <v>-7.2056387859879267</v>
      </c>
      <c r="K16" s="11">
        <f t="shared" si="5"/>
        <v>27.765059677328885</v>
      </c>
      <c r="L16" s="11">
        <f t="shared" si="2"/>
        <v>21.499609067113013</v>
      </c>
      <c r="M16" s="11">
        <f t="shared" si="0"/>
        <v>11.371407252560743</v>
      </c>
      <c r="N16" s="11">
        <f t="shared" si="3"/>
        <v>-54.030852545769108</v>
      </c>
      <c r="P16" s="12">
        <v>8.9300000000000004E-2</v>
      </c>
    </row>
    <row r="17" spans="1:16" x14ac:dyDescent="0.3">
      <c r="A17">
        <v>8</v>
      </c>
      <c r="B17" s="11"/>
      <c r="C17" s="11"/>
      <c r="D17" s="11"/>
      <c r="E17" s="11">
        <f t="shared" si="1"/>
        <v>-13.2923408563069</v>
      </c>
      <c r="F17" s="11"/>
      <c r="G17" s="11"/>
      <c r="H17" s="11">
        <f t="shared" si="4"/>
        <v>7.0190213880326988</v>
      </c>
      <c r="I17" s="11">
        <f t="shared" si="6"/>
        <v>46.09635092231791</v>
      </c>
      <c r="J17" s="11">
        <f t="shared" si="7"/>
        <v>-7.2056387859879267</v>
      </c>
      <c r="K17" s="11">
        <f t="shared" si="5"/>
        <v>27.769780992163884</v>
      </c>
      <c r="L17" s="11">
        <f t="shared" si="2"/>
        <v>21.496461523889685</v>
      </c>
      <c r="M17" s="11">
        <f t="shared" si="0"/>
        <v>10.22463711280559</v>
      </c>
      <c r="N17" s="11">
        <f t="shared" si="3"/>
        <v>-43.806215432963519</v>
      </c>
      <c r="P17" s="12">
        <v>8.9200000000000002E-2</v>
      </c>
    </row>
    <row r="18" spans="1:16" x14ac:dyDescent="0.3">
      <c r="A18">
        <v>9</v>
      </c>
      <c r="B18" s="11"/>
      <c r="C18" s="11"/>
      <c r="D18" s="11"/>
      <c r="E18" s="11">
        <f t="shared" si="1"/>
        <v>-13.2923408563069</v>
      </c>
      <c r="F18" s="11"/>
      <c r="G18" s="11"/>
      <c r="H18" s="11">
        <f t="shared" si="4"/>
        <v>7.026890246091031</v>
      </c>
      <c r="I18" s="11">
        <f t="shared" si="6"/>
        <v>46.09635092231791</v>
      </c>
      <c r="J18" s="11">
        <f t="shared" si="7"/>
        <v>-7.2056387859879267</v>
      </c>
      <c r="K18" s="11">
        <f t="shared" si="5"/>
        <v>27.765059677328885</v>
      </c>
      <c r="L18" s="11">
        <f t="shared" si="2"/>
        <v>21.499609067113013</v>
      </c>
      <c r="M18" s="11">
        <f t="shared" si="0"/>
        <v>9.1962075356089628</v>
      </c>
      <c r="N18" s="11">
        <f t="shared" si="3"/>
        <v>-34.610007897354556</v>
      </c>
      <c r="P18" s="12">
        <v>8.9300000000000004E-2</v>
      </c>
    </row>
    <row r="19" spans="1:16" x14ac:dyDescent="0.3">
      <c r="A19">
        <v>10</v>
      </c>
      <c r="B19" s="11"/>
      <c r="C19" s="11"/>
      <c r="D19" s="11"/>
      <c r="E19" s="11">
        <f t="shared" si="1"/>
        <v>-13.2923408563069</v>
      </c>
      <c r="F19" s="11"/>
      <c r="G19" s="11"/>
      <c r="H19" s="11">
        <f t="shared" si="4"/>
        <v>3.5095106940163494</v>
      </c>
      <c r="I19" s="11">
        <f t="shared" si="6"/>
        <v>46.09635092231791</v>
      </c>
      <c r="J19" s="11">
        <f t="shared" si="7"/>
        <v>-7.2056387859879267</v>
      </c>
      <c r="K19" s="11">
        <f t="shared" si="5"/>
        <v>29.875487408573694</v>
      </c>
      <c r="L19" s="11">
        <f t="shared" si="2"/>
        <v>20.092657246283146</v>
      </c>
      <c r="M19" s="11">
        <f t="shared" si="0"/>
        <v>7.7288139229356529</v>
      </c>
      <c r="N19" s="11">
        <f t="shared" si="3"/>
        <v>-26.881193974418903</v>
      </c>
      <c r="P19" s="12">
        <v>4.4600000000000001E-2</v>
      </c>
    </row>
    <row r="20" spans="1:16" x14ac:dyDescent="0.3">
      <c r="A20">
        <v>11</v>
      </c>
      <c r="B20" s="11"/>
      <c r="C20" s="11"/>
      <c r="D20" s="11"/>
      <c r="E20" s="11">
        <f t="shared" si="1"/>
        <v>-13.2923408563069</v>
      </c>
      <c r="F20" s="11"/>
      <c r="G20" s="11"/>
      <c r="H20" s="11"/>
      <c r="I20" s="11">
        <f t="shared" si="6"/>
        <v>46.09635092231791</v>
      </c>
      <c r="J20" s="11">
        <f t="shared" si="7"/>
        <v>-7.2056387859879267</v>
      </c>
      <c r="K20" s="11">
        <f t="shared" si="5"/>
        <v>31.981193824983503</v>
      </c>
      <c r="L20" s="11">
        <f t="shared" si="2"/>
        <v>18.688852968676603</v>
      </c>
      <c r="M20" s="11">
        <f t="shared" si="0"/>
        <v>6.4648045288951144</v>
      </c>
      <c r="N20" s="11">
        <f t="shared" si="3"/>
        <v>-20.416389445523787</v>
      </c>
    </row>
    <row r="21" spans="1:16" x14ac:dyDescent="0.3">
      <c r="A21">
        <v>12</v>
      </c>
      <c r="B21" s="11"/>
      <c r="C21" s="11"/>
      <c r="D21" s="11"/>
      <c r="E21" s="11">
        <f t="shared" si="1"/>
        <v>-13.2923408563069</v>
      </c>
      <c r="F21" s="11"/>
      <c r="G21" s="11"/>
      <c r="H21" s="11"/>
      <c r="I21" s="11">
        <f t="shared" si="6"/>
        <v>46.09635092231791</v>
      </c>
      <c r="J21" s="11">
        <f t="shared" si="7"/>
        <v>-7.2056387859879267</v>
      </c>
      <c r="K21" s="11">
        <f t="shared" si="5"/>
        <v>31.981193824983503</v>
      </c>
      <c r="L21" s="11">
        <f t="shared" si="2"/>
        <v>18.688852968676603</v>
      </c>
      <c r="M21" s="11">
        <f t="shared" si="0"/>
        <v>5.8137007447041595</v>
      </c>
      <c r="N21" s="11">
        <f t="shared" si="3"/>
        <v>-14.602688700819627</v>
      </c>
    </row>
    <row r="22" spans="1:16" x14ac:dyDescent="0.3">
      <c r="A22">
        <v>13</v>
      </c>
      <c r="B22" s="11"/>
      <c r="C22" s="11"/>
      <c r="D22" s="11"/>
      <c r="E22" s="11">
        <f t="shared" si="1"/>
        <v>-13.2923408563069</v>
      </c>
      <c r="F22" s="11"/>
      <c r="G22" s="11"/>
      <c r="H22" s="11"/>
      <c r="I22" s="11">
        <f t="shared" si="6"/>
        <v>46.09635092231791</v>
      </c>
      <c r="J22" s="11">
        <f t="shared" si="7"/>
        <v>-7.2056387859879267</v>
      </c>
      <c r="K22" s="11">
        <f t="shared" si="5"/>
        <v>31.981193824983503</v>
      </c>
      <c r="L22" s="11">
        <f t="shared" si="2"/>
        <v>18.688852968676603</v>
      </c>
      <c r="M22" s="11">
        <f t="shared" si="0"/>
        <v>5.2281729784566631</v>
      </c>
      <c r="N22" s="11">
        <f t="shared" si="3"/>
        <v>-9.3745157223629647</v>
      </c>
    </row>
    <row r="23" spans="1:16" ht="15" thickBot="1" x14ac:dyDescent="0.35">
      <c r="A23">
        <v>14</v>
      </c>
      <c r="B23" s="11"/>
      <c r="C23" s="11"/>
      <c r="D23" s="11"/>
      <c r="E23" s="11">
        <f t="shared" si="1"/>
        <v>-13.2923408563069</v>
      </c>
      <c r="F23" s="11"/>
      <c r="G23" s="11"/>
      <c r="H23" s="11"/>
      <c r="I23" s="11">
        <f t="shared" si="6"/>
        <v>46.09635092231791</v>
      </c>
      <c r="J23" s="11">
        <f t="shared" si="7"/>
        <v>-7.2056387859879267</v>
      </c>
      <c r="K23" s="11">
        <f t="shared" si="5"/>
        <v>31.981193824983503</v>
      </c>
      <c r="L23" s="11">
        <f t="shared" si="2"/>
        <v>18.688852968676603</v>
      </c>
      <c r="M23" s="11">
        <f t="shared" si="0"/>
        <v>4.7016167314018409</v>
      </c>
      <c r="N23" s="11">
        <f t="shared" si="3"/>
        <v>-4.6728989909611238</v>
      </c>
    </row>
    <row r="24" spans="1:16" ht="15" thickBot="1" x14ac:dyDescent="0.35">
      <c r="A24">
        <v>15</v>
      </c>
      <c r="B24" s="11"/>
      <c r="C24" s="11">
        <f>-WC</f>
        <v>18.63046532869339</v>
      </c>
      <c r="D24" s="11"/>
      <c r="E24" s="11">
        <f t="shared" si="1"/>
        <v>-13.2923408563069</v>
      </c>
      <c r="F24" s="11"/>
      <c r="G24" s="11"/>
      <c r="H24" s="11"/>
      <c r="I24" s="11">
        <f t="shared" si="6"/>
        <v>46.09635092231791</v>
      </c>
      <c r="J24" s="11">
        <f t="shared" si="7"/>
        <v>-7.2056387859879267</v>
      </c>
      <c r="K24" s="11">
        <f t="shared" si="5"/>
        <v>31.981193824983503</v>
      </c>
      <c r="L24" s="11">
        <f>C24+K24+G24+E24</f>
        <v>37.319318297369996</v>
      </c>
      <c r="M24" s="11">
        <f t="shared" si="0"/>
        <v>8.4429759654979506</v>
      </c>
      <c r="N24" s="13">
        <f>N23+M24</f>
        <v>3.7700769745368268</v>
      </c>
    </row>
    <row r="25" spans="1:16" x14ac:dyDescent="0.3">
      <c r="C25" s="3"/>
      <c r="D25" s="2"/>
      <c r="E25" s="4"/>
      <c r="F25" s="2"/>
      <c r="G25" s="1"/>
      <c r="H25" s="1"/>
    </row>
    <row r="26" spans="1:16" x14ac:dyDescent="0.3">
      <c r="C26" s="3"/>
      <c r="D26" s="2"/>
      <c r="E26" s="4"/>
      <c r="F26" s="2"/>
      <c r="G26" s="1"/>
      <c r="H26" s="1"/>
    </row>
    <row r="27" spans="1:16" x14ac:dyDescent="0.3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zoomScale="97" workbookViewId="0">
      <selection sqref="A1:B21"/>
    </sheetView>
  </sheetViews>
  <sheetFormatPr defaultRowHeight="14.4" x14ac:dyDescent="0.3"/>
  <sheetData>
    <row r="1" spans="1:2" x14ac:dyDescent="0.3">
      <c r="A1">
        <v>-52.5</v>
      </c>
      <c r="B1">
        <v>7</v>
      </c>
    </row>
    <row r="2" spans="1:2" x14ac:dyDescent="0.3">
      <c r="A2">
        <v>-45.5</v>
      </c>
      <c r="B2">
        <v>20</v>
      </c>
    </row>
    <row r="3" spans="1:2" x14ac:dyDescent="0.3">
      <c r="A3">
        <v>-38.5</v>
      </c>
      <c r="B3">
        <v>33</v>
      </c>
    </row>
    <row r="4" spans="1:2" x14ac:dyDescent="0.3">
      <c r="A4">
        <v>-31.5</v>
      </c>
      <c r="B4">
        <v>55</v>
      </c>
    </row>
    <row r="5" spans="1:2" x14ac:dyDescent="0.3">
      <c r="A5">
        <v>-24.5</v>
      </c>
      <c r="B5">
        <v>102</v>
      </c>
    </row>
    <row r="6" spans="1:2" x14ac:dyDescent="0.3">
      <c r="A6">
        <v>-17.5</v>
      </c>
      <c r="B6">
        <v>96</v>
      </c>
    </row>
    <row r="7" spans="1:2" x14ac:dyDescent="0.3">
      <c r="A7">
        <v>-10.5</v>
      </c>
      <c r="B7">
        <v>129</v>
      </c>
    </row>
    <row r="8" spans="1:2" x14ac:dyDescent="0.3">
      <c r="A8">
        <v>-3.5</v>
      </c>
      <c r="B8">
        <v>117</v>
      </c>
    </row>
    <row r="9" spans="1:2" x14ac:dyDescent="0.3">
      <c r="A9">
        <v>3.5</v>
      </c>
      <c r="B9">
        <v>110</v>
      </c>
    </row>
    <row r="10" spans="1:2" x14ac:dyDescent="0.3">
      <c r="A10">
        <v>10.5</v>
      </c>
      <c r="B10">
        <v>95</v>
      </c>
    </row>
    <row r="11" spans="1:2" x14ac:dyDescent="0.3">
      <c r="A11">
        <v>17.5</v>
      </c>
      <c r="B11">
        <v>75</v>
      </c>
    </row>
    <row r="12" spans="1:2" x14ac:dyDescent="0.3">
      <c r="A12">
        <v>24.5</v>
      </c>
      <c r="B12">
        <v>56</v>
      </c>
    </row>
    <row r="13" spans="1:2" x14ac:dyDescent="0.3">
      <c r="A13">
        <v>31.5</v>
      </c>
      <c r="B13">
        <v>35</v>
      </c>
    </row>
    <row r="14" spans="1:2" x14ac:dyDescent="0.3">
      <c r="A14">
        <v>38.5</v>
      </c>
      <c r="B14">
        <v>33</v>
      </c>
    </row>
    <row r="15" spans="1:2" x14ac:dyDescent="0.3">
      <c r="A15">
        <v>45.5</v>
      </c>
      <c r="B15">
        <v>16</v>
      </c>
    </row>
    <row r="16" spans="1:2" x14ac:dyDescent="0.3">
      <c r="A16">
        <v>52.5</v>
      </c>
      <c r="B16">
        <v>10</v>
      </c>
    </row>
    <row r="17" spans="1:2" x14ac:dyDescent="0.3">
      <c r="A17">
        <v>59.5</v>
      </c>
      <c r="B17">
        <v>6</v>
      </c>
    </row>
    <row r="18" spans="1:2" x14ac:dyDescent="0.3">
      <c r="A18">
        <v>66.5</v>
      </c>
      <c r="B18">
        <v>3</v>
      </c>
    </row>
    <row r="19" spans="1:2" x14ac:dyDescent="0.3">
      <c r="A19">
        <v>73.5</v>
      </c>
      <c r="B19">
        <v>0</v>
      </c>
    </row>
    <row r="20" spans="1:2" x14ac:dyDescent="0.3">
      <c r="A20">
        <v>80.5</v>
      </c>
      <c r="B20">
        <v>0</v>
      </c>
    </row>
    <row r="21" spans="1:2" x14ac:dyDescent="0.3">
      <c r="A21">
        <v>87.5</v>
      </c>
      <c r="B2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Botan</cp:lastModifiedBy>
  <dcterms:created xsi:type="dcterms:W3CDTF">2013-10-29T18:00:12Z</dcterms:created>
  <dcterms:modified xsi:type="dcterms:W3CDTF">2020-11-03T21:05:04Z</dcterms:modified>
</cp:coreProperties>
</file>